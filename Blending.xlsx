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iddiq\Documents\teaching\Business Analytics\Lecture 2\Cases\"/>
    </mc:Choice>
  </mc:AlternateContent>
  <bookViews>
    <workbookView xWindow="0" yWindow="465" windowWidth="28800" windowHeight="18000" activeTab="2"/>
  </bookViews>
  <sheets>
    <sheet name="Answer Report 1" sheetId="28" r:id="rId1"/>
    <sheet name="Sensitivity Report 1" sheetId="29" r:id="rId2"/>
    <sheet name="Original model" sheetId="3" r:id="rId3"/>
  </sheets>
  <definedNames>
    <definedName name="solver_adj" localSheetId="2" hidden="1">'Original model'!$B$5:$E$5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100</definedName>
    <definedName name="solver_lhs0" localSheetId="2" hidden="1">'Original model'!$F$9:$F$12</definedName>
    <definedName name="solver_lhs1" localSheetId="2" hidden="1">'Original model'!$F$10:$F$12</definedName>
    <definedName name="solver_lhs2" localSheetId="2" hidden="1">'Original model'!$F$9</definedName>
    <definedName name="solver_lhs3" localSheetId="2" hidden="1">'Original model'!$F$9</definedName>
    <definedName name="solver_lhs4" localSheetId="2" hidden="1">'Original model'!$F$9:$F$12</definedName>
    <definedName name="solver_lin" localSheetId="2" hidden="1">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'Original model'!$F$5</definedName>
    <definedName name="solver_pre" localSheetId="2" hidden="1">0.000001</definedName>
    <definedName name="solver_rbv" localSheetId="2" hidden="1">1</definedName>
    <definedName name="solver_rel0" localSheetId="2" hidden="1">1</definedName>
    <definedName name="solver_rel1" localSheetId="2" hidden="1">3</definedName>
    <definedName name="solver_rel2" localSheetId="2" hidden="1">2</definedName>
    <definedName name="solver_rel3" localSheetId="2" hidden="1">2</definedName>
    <definedName name="solver_rel4" localSheetId="2" hidden="1">1</definedName>
    <definedName name="solver_rhs0" localSheetId="2" hidden="1">'Original model'!$H$9:$H$12</definedName>
    <definedName name="solver_rhs1" localSheetId="2" hidden="1">'Original model'!$H$10:$H$12</definedName>
    <definedName name="solver_rhs2" localSheetId="2" hidden="1">'Original model'!$H$9</definedName>
    <definedName name="solver_rhs3" localSheetId="2" hidden="1">'Original model'!$H$9</definedName>
    <definedName name="solver_rhs4" localSheetId="2" hidden="1">'Original model'!$H$9:$H$12</definedName>
    <definedName name="solver_rlx" localSheetId="2" hidden="1">1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100</definedName>
    <definedName name="solver_tol" localSheetId="2" hidden="1">5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" i="3" l="1"/>
  <c r="E12" i="3" l="1"/>
  <c r="D12" i="3"/>
  <c r="C12" i="3"/>
  <c r="B12" i="3"/>
  <c r="E11" i="3"/>
  <c r="D11" i="3"/>
  <c r="C11" i="3"/>
  <c r="B11" i="3"/>
  <c r="E10" i="3"/>
  <c r="D10" i="3"/>
  <c r="C10" i="3"/>
  <c r="B10" i="3"/>
  <c r="F12" i="3" l="1"/>
  <c r="F11" i="3"/>
  <c r="F10" i="3"/>
  <c r="F9" i="3"/>
</calcChain>
</file>

<file path=xl/sharedStrings.xml><?xml version="1.0" encoding="utf-8"?>
<sst xmlns="http://schemas.openxmlformats.org/spreadsheetml/2006/main" count="124" uniqueCount="80">
  <si>
    <t>Objective</t>
  </si>
  <si>
    <t>Constraints</t>
  </si>
  <si>
    <t>LHS</t>
  </si>
  <si>
    <t>RHS</t>
  </si>
  <si>
    <t>Microsoft Excel 15.0 Answer Report</t>
  </si>
  <si>
    <t>Result: Solver found a solution.  All Constraints and optimality conditions are satisfied.</t>
  </si>
  <si>
    <t>Solver Engine</t>
  </si>
  <si>
    <t>Engine: Simplex LP</t>
  </si>
  <si>
    <t>Solver Options</t>
  </si>
  <si>
    <t>Max Time 100 sec,  Iterations 100, Precision 0.000001, Use Automatic Scaling</t>
  </si>
  <si>
    <t>Max Subproblems Unlimited, Max Integer Sols Unlimited, Integer Tolerance 5%, Solve Without Integer Constraints, Assume NonNegative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</si>
  <si>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</si>
  <si>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</si>
  <si>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</si>
  <si>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</si>
  <si>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</si>
  <si>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</si>
  <si>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</si>
  <si>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</si>
  <si>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</si>
  <si>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</si>
  <si>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$B$5</t>
  </si>
  <si>
    <t>Contin</t>
  </si>
  <si>
    <t>$C$5</t>
  </si>
  <si>
    <t>Binding</t>
  </si>
  <si>
    <t>Not Binding</t>
  </si>
  <si>
    <t>Microsoft Excel 15.0 Sensitivity Report</t>
  </si>
  <si>
    <t>Final</t>
  </si>
  <si>
    <t>Value</t>
  </si>
  <si>
    <t>Reduced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</si>
  <si>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</si>
  <si>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</si>
  <si>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</si>
  <si>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</si>
  <si>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</si>
  <si>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</si>
  <si>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</si>
  <si>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</si>
  <si>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</si>
  <si>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Constraint Coefficients</t>
  </si>
  <si>
    <t>=</t>
  </si>
  <si>
    <t>$D$5</t>
  </si>
  <si>
    <t>$E$5</t>
  </si>
  <si>
    <t>$F$5</t>
  </si>
  <si>
    <t>Total Cost</t>
  </si>
  <si>
    <t>Solution Time: 0.016 Seconds.</t>
  </si>
  <si>
    <t>Iterations: 5 Subproblems: 0</t>
  </si>
  <si>
    <t>Objective Cell (Min)</t>
  </si>
  <si>
    <t>Agri-Pro</t>
  </si>
  <si>
    <t>Thousands of pounds</t>
  </si>
  <si>
    <t>Decision to use in mix</t>
  </si>
  <si>
    <t>Feed 1</t>
  </si>
  <si>
    <t>Feed 2</t>
  </si>
  <si>
    <t>Feed 3</t>
  </si>
  <si>
    <t>Feed 4</t>
  </si>
  <si>
    <t>Cost per thousand pounds [$]</t>
  </si>
  <si>
    <t>Pounds of Feed Required</t>
  </si>
  <si>
    <t>Minimum % Corn Required</t>
  </si>
  <si>
    <t>Minimum % Grain Required</t>
  </si>
  <si>
    <t>Minimum % Minerals Required</t>
  </si>
  <si>
    <t>≥</t>
  </si>
  <si>
    <t>Worksheet: [Blending.xlsx]Original model</t>
  </si>
  <si>
    <t>Report Created: 24/07/2018 16:51:02</t>
  </si>
  <si>
    <t>Thousands of pounds Total Cost</t>
  </si>
  <si>
    <t>Thousands of pounds Feed 1</t>
  </si>
  <si>
    <t>Thousands of pounds Feed 2</t>
  </si>
  <si>
    <t>Thousands of pounds Feed 3</t>
  </si>
  <si>
    <t>Thousands of pounds Feed 4</t>
  </si>
  <si>
    <t>$F$10</t>
  </si>
  <si>
    <t>Minimum % Corn Required LHS</t>
  </si>
  <si>
    <t>$F$10&gt;=$H$10</t>
  </si>
  <si>
    <t>$F$11</t>
  </si>
  <si>
    <t>Minimum % Grain Required LHS</t>
  </si>
  <si>
    <t>$F$11&gt;=$H$11</t>
  </si>
  <si>
    <t>$F$12</t>
  </si>
  <si>
    <t>Minimum % Minerals Required LHS</t>
  </si>
  <si>
    <t>$F$12&gt;=$H$12</t>
  </si>
  <si>
    <t>$F$9</t>
  </si>
  <si>
    <t>Pounds of Feed Required LHS</t>
  </si>
  <si>
    <t>$F$9=$H$9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</si>
</sst>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&quot;$&quot;_-;_-* #,##0.00\ &quot;$&quot;\-;_-* &quot;-&quot;??\ &quot;$&quot;_-;_-@_-"/>
    <numFmt numFmtId="165" formatCode="0.00000"/>
    <numFmt numFmtId="166" formatCode="0.0000"/>
  </numFmts>
  <fonts count="13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i/>
      <sz val="16"/>
      <name val="Arial"/>
      <family val="2"/>
    </font>
    <font>
      <sz val="14"/>
      <name val="Calibri"/>
      <family val="2"/>
    </font>
    <font>
      <b/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5" xfId="0" applyNumberFormat="1" applyFill="1" applyBorder="1" applyAlignment="1"/>
    <xf numFmtId="0" fontId="0" fillId="0" borderId="4" xfId="0" applyNumberFormat="1" applyFill="1" applyBorder="1" applyAlignment="1"/>
    <xf numFmtId="0" fontId="3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2" fontId="9" fillId="0" borderId="0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2" fontId="2" fillId="3" borderId="6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" fontId="0" fillId="0" borderId="4" xfId="0" applyNumberFormat="1" applyFill="1" applyBorder="1" applyAlignment="1"/>
    <xf numFmtId="1" fontId="0" fillId="0" borderId="5" xfId="0" applyNumberFormat="1" applyFill="1" applyBorder="1" applyAlignment="1"/>
    <xf numFmtId="0" fontId="11" fillId="0" borderId="0" xfId="0" applyFont="1" applyBorder="1" applyAlignment="1">
      <alignment horizontal="center"/>
    </xf>
    <xf numFmtId="2" fontId="2" fillId="6" borderId="6" xfId="0" applyNumberFormat="1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165" fontId="2" fillId="4" borderId="6" xfId="0" applyNumberFormat="1" applyFont="1" applyFill="1" applyBorder="1" applyAlignment="1">
      <alignment horizontal="center"/>
    </xf>
    <xf numFmtId="165" fontId="2" fillId="3" borderId="6" xfId="0" applyNumberFormat="1" applyFont="1" applyFill="1" applyBorder="1" applyAlignment="1">
      <alignment horizontal="center"/>
    </xf>
    <xf numFmtId="166" fontId="8" fillId="2" borderId="6" xfId="0" applyNumberFormat="1" applyFont="1" applyFill="1" applyBorder="1" applyAlignment="1">
      <alignment horizontal="center"/>
    </xf>
    <xf numFmtId="166" fontId="8" fillId="5" borderId="6" xfId="0" applyNumberFormat="1" applyFont="1" applyFill="1" applyBorder="1" applyAlignment="1">
      <alignment horizontal="center"/>
    </xf>
    <xf numFmtId="166" fontId="2" fillId="3" borderId="6" xfId="2" applyNumberFormat="1" applyFont="1" applyFill="1" applyBorder="1" applyAlignment="1">
      <alignment horizontal="center"/>
    </xf>
    <xf numFmtId="166" fontId="2" fillId="3" borderId="6" xfId="0" applyNumberFormat="1" applyFont="1" applyFill="1" applyBorder="1" applyAlignment="1">
      <alignment horizontal="center"/>
    </xf>
    <xf numFmtId="166" fontId="2" fillId="3" borderId="6" xfId="1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workbookViewId="0"/>
  </sheetViews>
  <sheetFormatPr defaultRowHeight="12.75" x14ac:dyDescent="0.2"/>
  <cols>
    <col min="1" max="1" width="2.28515625" customWidth="1"/>
    <col min="2" max="2" width="6.140625" customWidth="1"/>
    <col min="3" max="3" width="31.140625" customWidth="1"/>
    <col min="4" max="4" width="14.28515625" bestFit="1" customWidth="1"/>
    <col min="5" max="5" width="13.85546875" bestFit="1" customWidth="1"/>
    <col min="6" max="6" width="10.5703125" customWidth="1"/>
    <col min="7" max="7" width="8" customWidth="1"/>
  </cols>
  <sheetData>
    <row r="1" spans="1:5" x14ac:dyDescent="0.2">
      <c r="A1" s="6" t="s">
        <v>4</v>
      </c>
    </row>
    <row r="2" spans="1:5" x14ac:dyDescent="0.2">
      <c r="A2" s="6" t="s">
        <v>61</v>
      </c>
    </row>
    <row r="3" spans="1:5" x14ac:dyDescent="0.2">
      <c r="A3" s="6" t="s">
        <v>62</v>
      </c>
    </row>
    <row r="4" spans="1:5" x14ac:dyDescent="0.2">
      <c r="A4" s="6" t="s">
        <v>5</v>
      </c>
    </row>
    <row r="5" spans="1:5" x14ac:dyDescent="0.2">
      <c r="A5" s="6" t="s">
        <v>6</v>
      </c>
    </row>
    <row r="6" spans="1:5" x14ac:dyDescent="0.2">
      <c r="A6" s="6"/>
      <c r="B6" t="s">
        <v>7</v>
      </c>
    </row>
    <row r="7" spans="1:5" x14ac:dyDescent="0.2">
      <c r="A7" s="6"/>
      <c r="B7" t="s">
        <v>45</v>
      </c>
    </row>
    <row r="8" spans="1:5" x14ac:dyDescent="0.2">
      <c r="A8" s="6"/>
      <c r="B8" t="s">
        <v>46</v>
      </c>
    </row>
    <row r="9" spans="1:5" x14ac:dyDescent="0.2">
      <c r="A9" s="6" t="s">
        <v>8</v>
      </c>
    </row>
    <row r="10" spans="1:5" x14ac:dyDescent="0.2">
      <c r="B10" t="s">
        <v>9</v>
      </c>
    </row>
    <row r="11" spans="1:5" x14ac:dyDescent="0.2">
      <c r="B11" t="s">
        <v>10</v>
      </c>
    </row>
    <row r="14" spans="1:5" ht="13.5" thickBot="1" x14ac:dyDescent="0.25">
      <c r="A14" t="s">
        <v>47</v>
      </c>
    </row>
    <row r="15" spans="1:5" ht="13.5" thickBot="1" x14ac:dyDescent="0.25">
      <c r="B15" s="25" t="s">
        <v>11</v>
      </c>
      <c r="C15" s="25" t="s">
        <v>12</v>
      </c>
      <c r="D15" s="25" t="s">
        <v>13</v>
      </c>
      <c r="E15" s="25" t="s">
        <v>14</v>
      </c>
    </row>
    <row r="16" spans="1:5" ht="13.5" thickBot="1" x14ac:dyDescent="0.25">
      <c r="B16" s="7" t="s">
        <v>43</v>
      </c>
      <c r="C16" s="7" t="s">
        <v>63</v>
      </c>
      <c r="D16" s="21">
        <v>1203000</v>
      </c>
      <c r="E16" s="21">
        <v>1950</v>
      </c>
    </row>
    <row r="19" spans="1:7" ht="13.5" thickBot="1" x14ac:dyDescent="0.25">
      <c r="A19" t="s">
        <v>15</v>
      </c>
    </row>
    <row r="20" spans="1:7" ht="13.5" thickBot="1" x14ac:dyDescent="0.25">
      <c r="B20" s="25" t="s">
        <v>11</v>
      </c>
      <c r="C20" s="25" t="s">
        <v>12</v>
      </c>
      <c r="D20" s="25" t="s">
        <v>13</v>
      </c>
      <c r="E20" s="25" t="s">
        <v>14</v>
      </c>
      <c r="F20" s="25" t="s">
        <v>16</v>
      </c>
    </row>
    <row r="21" spans="1:7" x14ac:dyDescent="0.2">
      <c r="B21" s="8" t="s">
        <v>21</v>
      </c>
      <c r="C21" s="8" t="s">
        <v>64</v>
      </c>
      <c r="D21" s="22">
        <v>3000</v>
      </c>
      <c r="E21" s="22">
        <v>4.5000000000000009</v>
      </c>
      <c r="F21" s="8" t="s">
        <v>22</v>
      </c>
    </row>
    <row r="22" spans="1:7" x14ac:dyDescent="0.2">
      <c r="B22" s="8" t="s">
        <v>23</v>
      </c>
      <c r="C22" s="8" t="s">
        <v>65</v>
      </c>
      <c r="D22" s="22">
        <v>550</v>
      </c>
      <c r="E22" s="22">
        <v>1.9999999999999996</v>
      </c>
      <c r="F22" s="8" t="s">
        <v>22</v>
      </c>
    </row>
    <row r="23" spans="1:7" x14ac:dyDescent="0.2">
      <c r="B23" s="8" t="s">
        <v>41</v>
      </c>
      <c r="C23" s="8" t="s">
        <v>66</v>
      </c>
      <c r="D23" s="22">
        <v>900</v>
      </c>
      <c r="E23" s="22">
        <v>0</v>
      </c>
      <c r="F23" s="8" t="s">
        <v>22</v>
      </c>
    </row>
    <row r="24" spans="1:7" ht="13.5" thickBot="1" x14ac:dyDescent="0.25">
      <c r="B24" s="7" t="s">
        <v>42</v>
      </c>
      <c r="C24" s="7" t="s">
        <v>67</v>
      </c>
      <c r="D24" s="21">
        <v>0</v>
      </c>
      <c r="E24" s="21">
        <v>1.4999999999999996</v>
      </c>
      <c r="F24" s="7" t="s">
        <v>22</v>
      </c>
    </row>
    <row r="27" spans="1:7" ht="13.5" thickBot="1" x14ac:dyDescent="0.25">
      <c r="A27" t="s">
        <v>1</v>
      </c>
    </row>
    <row r="28" spans="1:7" ht="13.5" thickBot="1" x14ac:dyDescent="0.25">
      <c r="B28" s="25" t="s">
        <v>11</v>
      </c>
      <c r="C28" s="25" t="s">
        <v>12</v>
      </c>
      <c r="D28" s="25" t="s">
        <v>17</v>
      </c>
      <c r="E28" s="25" t="s">
        <v>18</v>
      </c>
      <c r="F28" s="25" t="s">
        <v>19</v>
      </c>
      <c r="G28" s="25" t="s">
        <v>20</v>
      </c>
    </row>
    <row r="29" spans="1:7" x14ac:dyDescent="0.2">
      <c r="B29" s="8" t="s">
        <v>68</v>
      </c>
      <c r="C29" s="8" t="s">
        <v>69</v>
      </c>
      <c r="D29" s="9">
        <v>0.2</v>
      </c>
      <c r="E29" s="8" t="s">
        <v>70</v>
      </c>
      <c r="F29" s="8" t="s">
        <v>24</v>
      </c>
      <c r="G29" s="9">
        <v>0</v>
      </c>
    </row>
    <row r="30" spans="1:7" x14ac:dyDescent="0.2">
      <c r="B30" s="8" t="s">
        <v>71</v>
      </c>
      <c r="C30" s="8" t="s">
        <v>72</v>
      </c>
      <c r="D30" s="9">
        <v>0.15</v>
      </c>
      <c r="E30" s="8" t="s">
        <v>73</v>
      </c>
      <c r="F30" s="8" t="s">
        <v>24</v>
      </c>
      <c r="G30" s="9">
        <v>0</v>
      </c>
    </row>
    <row r="31" spans="1:7" x14ac:dyDescent="0.2">
      <c r="B31" s="8" t="s">
        <v>74</v>
      </c>
      <c r="C31" s="8" t="s">
        <v>75</v>
      </c>
      <c r="D31" s="9">
        <v>0.21875</v>
      </c>
      <c r="E31" s="8" t="s">
        <v>76</v>
      </c>
      <c r="F31" s="8" t="s">
        <v>25</v>
      </c>
      <c r="G31" s="9">
        <v>6.8750000000000006E-2</v>
      </c>
    </row>
    <row r="32" spans="1:7" ht="13.5" thickBot="1" x14ac:dyDescent="0.25">
      <c r="B32" s="7" t="s">
        <v>77</v>
      </c>
      <c r="C32" s="7" t="s">
        <v>78</v>
      </c>
      <c r="D32" s="10">
        <v>8</v>
      </c>
      <c r="E32" s="7" t="s">
        <v>79</v>
      </c>
      <c r="F32" s="7" t="s">
        <v>24</v>
      </c>
      <c r="G32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workbookViewId="0"/>
  </sheetViews>
  <sheetFormatPr defaultRowHeight="12.75" x14ac:dyDescent="0.2"/>
  <cols>
    <col min="1" max="1" width="2.28515625" customWidth="1"/>
    <col min="2" max="2" width="6.140625" bestFit="1" customWidth="1"/>
    <col min="3" max="3" width="31.140625" bestFit="1" customWidth="1"/>
    <col min="4" max="4" width="8" bestFit="1" customWidth="1"/>
    <col min="5" max="5" width="9" bestFit="1" customWidth="1"/>
    <col min="6" max="6" width="10.7109375" bestFit="1" customWidth="1"/>
    <col min="7" max="8" width="12" bestFit="1" customWidth="1"/>
  </cols>
  <sheetData>
    <row r="1" spans="1:8" x14ac:dyDescent="0.2">
      <c r="A1" s="6" t="s">
        <v>26</v>
      </c>
    </row>
    <row r="2" spans="1:8" x14ac:dyDescent="0.2">
      <c r="A2" s="6" t="s">
        <v>61</v>
      </c>
    </row>
    <row r="3" spans="1:8" x14ac:dyDescent="0.2">
      <c r="A3" s="6" t="s">
        <v>62</v>
      </c>
    </row>
    <row r="6" spans="1:8" ht="13.5" thickBot="1" x14ac:dyDescent="0.25">
      <c r="A6" t="s">
        <v>15</v>
      </c>
    </row>
    <row r="7" spans="1:8" x14ac:dyDescent="0.2">
      <c r="B7" s="26"/>
      <c r="C7" s="26"/>
      <c r="D7" s="26" t="s">
        <v>27</v>
      </c>
      <c r="E7" s="26" t="s">
        <v>29</v>
      </c>
      <c r="F7" s="26" t="s">
        <v>0</v>
      </c>
      <c r="G7" s="26" t="s">
        <v>32</v>
      </c>
      <c r="H7" s="26" t="s">
        <v>32</v>
      </c>
    </row>
    <row r="8" spans="1:8" ht="13.5" thickBot="1" x14ac:dyDescent="0.25">
      <c r="B8" s="27" t="s">
        <v>11</v>
      </c>
      <c r="C8" s="27" t="s">
        <v>12</v>
      </c>
      <c r="D8" s="27" t="s">
        <v>28</v>
      </c>
      <c r="E8" s="27" t="s">
        <v>30</v>
      </c>
      <c r="F8" s="27" t="s">
        <v>31</v>
      </c>
      <c r="G8" s="27" t="s">
        <v>33</v>
      </c>
      <c r="H8" s="27" t="s">
        <v>34</v>
      </c>
    </row>
    <row r="9" spans="1:8" x14ac:dyDescent="0.2">
      <c r="B9" s="8" t="s">
        <v>21</v>
      </c>
      <c r="C9" s="8" t="s">
        <v>64</v>
      </c>
      <c r="D9" s="8">
        <v>4.5000000000000009</v>
      </c>
      <c r="E9" s="8">
        <v>0</v>
      </c>
      <c r="F9" s="8">
        <v>250</v>
      </c>
      <c r="G9" s="8">
        <v>135.55555555555526</v>
      </c>
      <c r="H9" s="8">
        <v>99.999999999999901</v>
      </c>
    </row>
    <row r="10" spans="1:8" x14ac:dyDescent="0.2">
      <c r="B10" s="8" t="s">
        <v>23</v>
      </c>
      <c r="C10" s="8" t="s">
        <v>65</v>
      </c>
      <c r="D10" s="8">
        <v>1.9999999999999996</v>
      </c>
      <c r="E10" s="8">
        <v>0</v>
      </c>
      <c r="F10" s="8">
        <v>300</v>
      </c>
      <c r="G10" s="8">
        <v>304.99999999999955</v>
      </c>
      <c r="H10" s="8">
        <v>174.99999999999994</v>
      </c>
    </row>
    <row r="11" spans="1:8" x14ac:dyDescent="0.2">
      <c r="B11" s="8" t="s">
        <v>41</v>
      </c>
      <c r="C11" s="8" t="s">
        <v>66</v>
      </c>
      <c r="D11" s="8">
        <v>0</v>
      </c>
      <c r="E11" s="8">
        <v>76.249999999999915</v>
      </c>
      <c r="F11" s="8">
        <v>320</v>
      </c>
      <c r="G11" s="8">
        <v>1E+30</v>
      </c>
      <c r="H11" s="8">
        <v>76.249999999999915</v>
      </c>
    </row>
    <row r="12" spans="1:8" ht="13.5" thickBot="1" x14ac:dyDescent="0.25">
      <c r="B12" s="7" t="s">
        <v>42</v>
      </c>
      <c r="C12" s="7" t="s">
        <v>67</v>
      </c>
      <c r="D12" s="7">
        <v>1.4999999999999996</v>
      </c>
      <c r="E12" s="7">
        <v>0</v>
      </c>
      <c r="F12" s="7">
        <v>150</v>
      </c>
      <c r="G12" s="7">
        <v>99.999999999999943</v>
      </c>
      <c r="H12" s="7">
        <v>1E+30</v>
      </c>
    </row>
    <row r="14" spans="1:8" ht="13.5" thickBot="1" x14ac:dyDescent="0.25">
      <c r="A14" t="s">
        <v>1</v>
      </c>
    </row>
    <row r="15" spans="1:8" x14ac:dyDescent="0.2">
      <c r="B15" s="26"/>
      <c r="C15" s="26"/>
      <c r="D15" s="26" t="s">
        <v>27</v>
      </c>
      <c r="E15" s="26" t="s">
        <v>35</v>
      </c>
      <c r="F15" s="26" t="s">
        <v>37</v>
      </c>
      <c r="G15" s="26" t="s">
        <v>32</v>
      </c>
      <c r="H15" s="26" t="s">
        <v>32</v>
      </c>
    </row>
    <row r="16" spans="1:8" ht="13.5" thickBot="1" x14ac:dyDescent="0.25">
      <c r="B16" s="27" t="s">
        <v>11</v>
      </c>
      <c r="C16" s="27" t="s">
        <v>12</v>
      </c>
      <c r="D16" s="27" t="s">
        <v>28</v>
      </c>
      <c r="E16" s="27" t="s">
        <v>36</v>
      </c>
      <c r="F16" s="27" t="s">
        <v>38</v>
      </c>
      <c r="G16" s="27" t="s">
        <v>33</v>
      </c>
      <c r="H16" s="27" t="s">
        <v>34</v>
      </c>
    </row>
    <row r="17" spans="2:8" x14ac:dyDescent="0.2">
      <c r="B17" s="8" t="s">
        <v>68</v>
      </c>
      <c r="C17" s="8" t="s">
        <v>69</v>
      </c>
      <c r="D17" s="8">
        <v>0.2</v>
      </c>
      <c r="E17" s="8">
        <v>3999.9999999999955</v>
      </c>
      <c r="F17" s="8">
        <v>0.2</v>
      </c>
      <c r="G17" s="8">
        <v>3.7500000000000006E-2</v>
      </c>
      <c r="H17" s="8">
        <v>0.11250000000000004</v>
      </c>
    </row>
    <row r="18" spans="2:8" x14ac:dyDescent="0.2">
      <c r="B18" s="8" t="s">
        <v>71</v>
      </c>
      <c r="C18" s="8" t="s">
        <v>72</v>
      </c>
      <c r="D18" s="8">
        <v>0.15</v>
      </c>
      <c r="E18" s="8">
        <v>6999.9999999999945</v>
      </c>
      <c r="F18" s="8">
        <v>0.15</v>
      </c>
      <c r="G18" s="8">
        <v>3.0000000000000009E-2</v>
      </c>
      <c r="H18" s="8">
        <v>5.0000000000000017E-2</v>
      </c>
    </row>
    <row r="19" spans="2:8" x14ac:dyDescent="0.2">
      <c r="B19" s="8" t="s">
        <v>74</v>
      </c>
      <c r="C19" s="8" t="s">
        <v>75</v>
      </c>
      <c r="D19" s="8">
        <v>0.21875</v>
      </c>
      <c r="E19" s="8">
        <v>0</v>
      </c>
      <c r="F19" s="8">
        <v>0.15</v>
      </c>
      <c r="G19" s="8">
        <v>6.8750000000000033E-2</v>
      </c>
      <c r="H19" s="8">
        <v>1E+30</v>
      </c>
    </row>
    <row r="20" spans="2:8" ht="13.5" thickBot="1" x14ac:dyDescent="0.25">
      <c r="B20" s="7" t="s">
        <v>77</v>
      </c>
      <c r="C20" s="7" t="s">
        <v>78</v>
      </c>
      <c r="D20" s="7">
        <v>8</v>
      </c>
      <c r="E20" s="7">
        <v>12.500000000000171</v>
      </c>
      <c r="F20" s="7">
        <v>8</v>
      </c>
      <c r="G20" s="7">
        <v>4.0000000000000044</v>
      </c>
      <c r="H20" s="7">
        <v>0.70588235294117652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tabSelected="1" zoomScale="120" zoomScaleNormal="120" zoomScalePageLayoutView="120" workbookViewId="0">
      <selection activeCell="J10" sqref="J10"/>
    </sheetView>
  </sheetViews>
  <sheetFormatPr defaultColWidth="11.42578125" defaultRowHeight="20.25" x14ac:dyDescent="0.3"/>
  <cols>
    <col min="1" max="1" width="53.42578125" style="1" bestFit="1" customWidth="1"/>
    <col min="2" max="2" width="21.42578125" style="1" bestFit="1" customWidth="1"/>
    <col min="3" max="4" width="18.42578125" style="1" bestFit="1" customWidth="1"/>
    <col min="5" max="5" width="19.140625" style="1" bestFit="1" customWidth="1"/>
    <col min="6" max="6" width="25.28515625" style="1" bestFit="1" customWidth="1"/>
    <col min="7" max="16384" width="11.42578125" style="1"/>
  </cols>
  <sheetData>
    <row r="1" spans="1:8" x14ac:dyDescent="0.3">
      <c r="A1" s="11" t="s">
        <v>48</v>
      </c>
    </row>
    <row r="3" spans="1:8" s="2" customFormat="1" x14ac:dyDescent="0.3">
      <c r="B3" s="4"/>
      <c r="C3" s="4"/>
    </row>
    <row r="4" spans="1:8" s="2" customFormat="1" x14ac:dyDescent="0.3">
      <c r="A4" s="15" t="s">
        <v>50</v>
      </c>
      <c r="B4" s="5" t="s">
        <v>51</v>
      </c>
      <c r="C4" s="5" t="s">
        <v>52</v>
      </c>
      <c r="D4" s="5" t="s">
        <v>53</v>
      </c>
      <c r="E4" s="5" t="s">
        <v>54</v>
      </c>
      <c r="F4" s="15" t="s">
        <v>44</v>
      </c>
    </row>
    <row r="5" spans="1:8" s="2" customFormat="1" x14ac:dyDescent="0.3">
      <c r="A5" s="5" t="s">
        <v>49</v>
      </c>
      <c r="B5" s="30">
        <v>4.5000000000000009</v>
      </c>
      <c r="C5" s="30">
        <v>1.9999999999999996</v>
      </c>
      <c r="D5" s="30">
        <v>0</v>
      </c>
      <c r="E5" s="30">
        <v>1.4999999999999996</v>
      </c>
      <c r="F5" s="31">
        <f>SUMPRODUCT($B$5:$E$5,B6:E6)</f>
        <v>1950</v>
      </c>
    </row>
    <row r="6" spans="1:8" s="2" customFormat="1" x14ac:dyDescent="0.3">
      <c r="A6" s="5" t="s">
        <v>55</v>
      </c>
      <c r="B6" s="32">
        <v>250</v>
      </c>
      <c r="C6" s="32">
        <v>300</v>
      </c>
      <c r="D6" s="33">
        <v>320</v>
      </c>
      <c r="E6" s="34">
        <v>150</v>
      </c>
      <c r="F6" s="35"/>
    </row>
    <row r="7" spans="1:8" s="2" customFormat="1" x14ac:dyDescent="0.3">
      <c r="B7" s="14"/>
      <c r="C7" s="12"/>
      <c r="D7" s="12"/>
      <c r="E7" s="12"/>
    </row>
    <row r="8" spans="1:8" s="2" customFormat="1" x14ac:dyDescent="0.3">
      <c r="B8" s="16" t="s">
        <v>39</v>
      </c>
      <c r="C8" s="13"/>
      <c r="D8" s="13"/>
      <c r="E8" s="13"/>
      <c r="F8" s="17" t="s">
        <v>2</v>
      </c>
      <c r="H8" s="17" t="s">
        <v>3</v>
      </c>
    </row>
    <row r="9" spans="1:8" s="2" customFormat="1" x14ac:dyDescent="0.3">
      <c r="A9" s="3" t="s">
        <v>56</v>
      </c>
      <c r="B9" s="18">
        <v>1</v>
      </c>
      <c r="C9" s="18">
        <v>1</v>
      </c>
      <c r="D9" s="18">
        <v>1</v>
      </c>
      <c r="E9" s="18">
        <v>1</v>
      </c>
      <c r="F9" s="19">
        <f>SUMPRODUCT($B$5:$E$5,B9:E9)</f>
        <v>8</v>
      </c>
      <c r="G9" s="13" t="s">
        <v>40</v>
      </c>
      <c r="H9" s="20">
        <v>8</v>
      </c>
    </row>
    <row r="10" spans="1:8" s="2" customFormat="1" x14ac:dyDescent="0.3">
      <c r="A10" s="3" t="s">
        <v>57</v>
      </c>
      <c r="B10" s="29">
        <f>0.3/$H$9</f>
        <v>3.7499999999999999E-2</v>
      </c>
      <c r="C10" s="29">
        <f>0.05/$H$9</f>
        <v>6.2500000000000003E-3</v>
      </c>
      <c r="D10" s="29">
        <f>0.2/$H$9</f>
        <v>2.5000000000000001E-2</v>
      </c>
      <c r="E10" s="29">
        <f>0.1/$H$9</f>
        <v>1.2500000000000001E-2</v>
      </c>
      <c r="F10" s="28">
        <f>SUMPRODUCT($B$5:$E$5,B10:E10)</f>
        <v>0.2</v>
      </c>
      <c r="G10" s="23" t="s">
        <v>60</v>
      </c>
      <c r="H10" s="24">
        <v>0.2</v>
      </c>
    </row>
    <row r="11" spans="1:8" s="2" customFormat="1" x14ac:dyDescent="0.3">
      <c r="A11" s="3" t="s">
        <v>58</v>
      </c>
      <c r="B11" s="29">
        <f>0.1/$H$9</f>
        <v>1.2500000000000001E-2</v>
      </c>
      <c r="C11" s="29">
        <f>0.3/$H$9</f>
        <v>3.7499999999999999E-2</v>
      </c>
      <c r="D11" s="29">
        <f>0.15/$H$9</f>
        <v>1.8749999999999999E-2</v>
      </c>
      <c r="E11" s="29">
        <f>0.1/$H$9</f>
        <v>1.2500000000000001E-2</v>
      </c>
      <c r="F11" s="28">
        <f>SUMPRODUCT($B$5:$E$5,B11:E11)</f>
        <v>0.15</v>
      </c>
      <c r="G11" s="23" t="s">
        <v>60</v>
      </c>
      <c r="H11" s="24">
        <v>0.15</v>
      </c>
    </row>
    <row r="12" spans="1:8" s="2" customFormat="1" x14ac:dyDescent="0.3">
      <c r="A12" s="3" t="s">
        <v>59</v>
      </c>
      <c r="B12" s="29">
        <f>0.2/$H$9</f>
        <v>2.5000000000000001E-2</v>
      </c>
      <c r="C12" s="29">
        <f>0.2/$H$9</f>
        <v>2.5000000000000001E-2</v>
      </c>
      <c r="D12" s="29">
        <f>0.2/$H$9</f>
        <v>2.5000000000000001E-2</v>
      </c>
      <c r="E12" s="29">
        <f>0.3/$H$9</f>
        <v>3.7499999999999999E-2</v>
      </c>
      <c r="F12" s="28">
        <f>SUMPRODUCT($B$5:$E$5,B12:E12)</f>
        <v>0.21875</v>
      </c>
      <c r="G12" s="23" t="s">
        <v>60</v>
      </c>
      <c r="H12" s="24">
        <v>0.15</v>
      </c>
    </row>
  </sheetData>
  <phoneticPr fontId="6" type="noConversion"/>
  <pageMargins left="0.79" right="0.79" top="0.98" bottom="0.98" header="0.51" footer="0.51"/>
  <pageSetup orientation="landscape" horizontalDpi="300" verticalDpi="300" r:id="rId1"/>
  <headerFooter alignWithMargins="0">
    <oddHeader>&amp;C&amp;F; &amp;A</oddHeader>
    <oddFooter>&amp;L&amp;K000000Course: 2-604-15&amp;C&amp;K000000Session: 2&amp;R&amp;K000000HEC Montréal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 Report 1</vt:lpstr>
      <vt:lpstr>Sensitivity Report 1</vt:lpstr>
      <vt:lpstr>Original model</vt:lpstr>
    </vt:vector>
  </TitlesOfParts>
  <Company>HEC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 Bahn</dc:creator>
  <cp:lastModifiedBy>Afzal Siddiqui</cp:lastModifiedBy>
  <cp:lastPrinted>2011-08-21T18:28:15Z</cp:lastPrinted>
  <dcterms:created xsi:type="dcterms:W3CDTF">2004-02-25T23:19:30Z</dcterms:created>
  <dcterms:modified xsi:type="dcterms:W3CDTF">2020-09-11T16:38:35Z</dcterms:modified>
</cp:coreProperties>
</file>